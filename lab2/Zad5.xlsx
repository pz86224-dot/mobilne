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sers\P\Desktop\"/>
    </mc:Choice>
  </mc:AlternateContent>
  <xr:revisionPtr revIDLastSave="0" documentId="8_{3C6FC950-3584-4D76-89CF-C95B9A69C82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naliza_M_M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J33" i="1" s="1"/>
  <c r="H33" i="1"/>
  <c r="G33" i="1"/>
  <c r="I32" i="1"/>
  <c r="J32" i="1" s="1"/>
  <c r="G32" i="1"/>
  <c r="H32" i="1" s="1"/>
  <c r="I31" i="1"/>
  <c r="G31" i="1"/>
  <c r="H31" i="1" s="1"/>
  <c r="I30" i="1"/>
  <c r="G30" i="1"/>
  <c r="H30" i="1" s="1"/>
  <c r="J29" i="1"/>
  <c r="K29" i="1" s="1"/>
  <c r="L29" i="1" s="1"/>
  <c r="M29" i="1" s="1"/>
  <c r="I29" i="1"/>
  <c r="H29" i="1"/>
  <c r="G29" i="1"/>
  <c r="I28" i="1"/>
  <c r="J28" i="1" s="1"/>
  <c r="H28" i="1"/>
  <c r="G28" i="1"/>
  <c r="J27" i="1"/>
  <c r="I27" i="1"/>
  <c r="H27" i="1"/>
  <c r="G27" i="1"/>
  <c r="I26" i="1"/>
  <c r="G26" i="1"/>
  <c r="H26" i="1" s="1"/>
  <c r="I25" i="1"/>
  <c r="J25" i="1" s="1"/>
  <c r="H25" i="1"/>
  <c r="G25" i="1"/>
  <c r="I24" i="1"/>
  <c r="J24" i="1" s="1"/>
  <c r="G24" i="1"/>
  <c r="H24" i="1" s="1"/>
  <c r="I23" i="1"/>
  <c r="G23" i="1"/>
  <c r="H23" i="1" s="1"/>
  <c r="I22" i="1"/>
  <c r="G22" i="1"/>
  <c r="H22" i="1" s="1"/>
  <c r="J21" i="1"/>
  <c r="K21" i="1" s="1"/>
  <c r="L21" i="1" s="1"/>
  <c r="M21" i="1" s="1"/>
  <c r="I21" i="1"/>
  <c r="H21" i="1"/>
  <c r="G21" i="1"/>
  <c r="I20" i="1"/>
  <c r="J20" i="1" s="1"/>
  <c r="H20" i="1"/>
  <c r="G20" i="1"/>
  <c r="J19" i="1"/>
  <c r="I19" i="1"/>
  <c r="H19" i="1"/>
  <c r="G19" i="1"/>
  <c r="I18" i="1"/>
  <c r="G18" i="1"/>
  <c r="H18" i="1" s="1"/>
  <c r="I17" i="1"/>
  <c r="J17" i="1" s="1"/>
  <c r="H17" i="1"/>
  <c r="G17" i="1"/>
  <c r="I16" i="1"/>
  <c r="J16" i="1" s="1"/>
  <c r="G16" i="1"/>
  <c r="H16" i="1" s="1"/>
  <c r="I15" i="1"/>
  <c r="G15" i="1"/>
  <c r="H15" i="1" s="1"/>
  <c r="I14" i="1"/>
  <c r="G14" i="1"/>
  <c r="H14" i="1" s="1"/>
  <c r="J13" i="1"/>
  <c r="K13" i="1" s="1"/>
  <c r="I13" i="1"/>
  <c r="H13" i="1"/>
  <c r="G13" i="1"/>
  <c r="I12" i="1"/>
  <c r="J12" i="1" s="1"/>
  <c r="H12" i="1"/>
  <c r="G12" i="1"/>
  <c r="I11" i="1"/>
  <c r="H11" i="1"/>
  <c r="J11" i="1" s="1"/>
  <c r="G11" i="1"/>
  <c r="I10" i="1"/>
  <c r="G10" i="1"/>
  <c r="H10" i="1" s="1"/>
  <c r="I9" i="1"/>
  <c r="J9" i="1" s="1"/>
  <c r="H9" i="1"/>
  <c r="G9" i="1"/>
  <c r="I8" i="1"/>
  <c r="G8" i="1"/>
  <c r="H8" i="1" s="1"/>
  <c r="I7" i="1"/>
  <c r="G7" i="1"/>
  <c r="H7" i="1" s="1"/>
  <c r="I6" i="1"/>
  <c r="G6" i="1"/>
  <c r="H6" i="1" s="1"/>
  <c r="J5" i="1"/>
  <c r="I5" i="1"/>
  <c r="H5" i="1"/>
  <c r="G5" i="1"/>
  <c r="I4" i="1"/>
  <c r="J4" i="1" s="1"/>
  <c r="H4" i="1"/>
  <c r="G4" i="1"/>
  <c r="I3" i="1"/>
  <c r="H3" i="1"/>
  <c r="J3" i="1" s="1"/>
  <c r="G3" i="1"/>
  <c r="I2" i="1"/>
  <c r="G2" i="1"/>
  <c r="H2" i="1" s="1"/>
  <c r="M2" i="1" s="1"/>
  <c r="L13" i="1" l="1"/>
  <c r="M13" i="1" s="1"/>
  <c r="K4" i="1"/>
  <c r="L4" i="1" s="1"/>
  <c r="M4" i="1" s="1"/>
  <c r="J8" i="1"/>
  <c r="K28" i="1"/>
  <c r="L28" i="1" s="1"/>
  <c r="M28" i="1" s="1"/>
  <c r="K17" i="1"/>
  <c r="L17" i="1" s="1"/>
  <c r="M17" i="1" s="1"/>
  <c r="J23" i="1"/>
  <c r="J26" i="1"/>
  <c r="J22" i="1"/>
  <c r="K32" i="1"/>
  <c r="L32" i="1" s="1"/>
  <c r="M32" i="1" s="1"/>
  <c r="J6" i="1"/>
  <c r="K9" i="1"/>
  <c r="L9" i="1" s="1"/>
  <c r="M9" i="1" s="1"/>
  <c r="K12" i="1"/>
  <c r="L12" i="1" s="1"/>
  <c r="M12" i="1" s="1"/>
  <c r="J15" i="1"/>
  <c r="J18" i="1"/>
  <c r="K16" i="1"/>
  <c r="L16" i="1" s="1"/>
  <c r="M16" i="1" s="1"/>
  <c r="K11" i="1"/>
  <c r="L11" i="1" s="1"/>
  <c r="M11" i="1" s="1"/>
  <c r="J31" i="1"/>
  <c r="K24" i="1"/>
  <c r="L24" i="1" s="1"/>
  <c r="M24" i="1" s="1"/>
  <c r="K25" i="1"/>
  <c r="L25" i="1" s="1"/>
  <c r="M25" i="1" s="1"/>
  <c r="J2" i="1"/>
  <c r="J14" i="1"/>
  <c r="K3" i="1"/>
  <c r="L3" i="1" s="1"/>
  <c r="M3" i="1" s="1"/>
  <c r="K20" i="1"/>
  <c r="L20" i="1" s="1"/>
  <c r="M20" i="1" s="1"/>
  <c r="J7" i="1"/>
  <c r="J10" i="1"/>
  <c r="J30" i="1"/>
  <c r="K33" i="1"/>
  <c r="L33" i="1" s="1"/>
  <c r="M33" i="1" s="1"/>
  <c r="K5" i="1"/>
  <c r="L5" i="1" s="1"/>
  <c r="M5" i="1" s="1"/>
  <c r="K19" i="1"/>
  <c r="L19" i="1" s="1"/>
  <c r="M19" i="1" s="1"/>
  <c r="K27" i="1"/>
  <c r="L27" i="1" s="1"/>
  <c r="M27" i="1" s="1"/>
  <c r="K2" i="1" l="1"/>
  <c r="L2" i="1" s="1"/>
  <c r="K18" i="1"/>
  <c r="L18" i="1" s="1"/>
  <c r="M18" i="1" s="1"/>
  <c r="K6" i="1"/>
  <c r="L6" i="1" s="1"/>
  <c r="M6" i="1" s="1"/>
  <c r="K26" i="1"/>
  <c r="L26" i="1" s="1"/>
  <c r="M26" i="1" s="1"/>
  <c r="K8" i="1"/>
  <c r="L8" i="1" s="1"/>
  <c r="M8" i="1" s="1"/>
  <c r="K7" i="1"/>
  <c r="L7" i="1" s="1"/>
  <c r="M7" i="1" s="1"/>
  <c r="K15" i="1"/>
  <c r="L15" i="1" s="1"/>
  <c r="M15" i="1" s="1"/>
  <c r="K23" i="1"/>
  <c r="L23" i="1" s="1"/>
  <c r="M23" i="1" s="1"/>
  <c r="K30" i="1"/>
  <c r="L30" i="1" s="1"/>
  <c r="M30" i="1" s="1"/>
  <c r="K31" i="1"/>
  <c r="L31" i="1" s="1"/>
  <c r="M31" i="1" s="1"/>
  <c r="K10" i="1"/>
  <c r="L10" i="1" s="1"/>
  <c r="M10" i="1" s="1"/>
  <c r="K14" i="1"/>
  <c r="L14" i="1" s="1"/>
  <c r="M14" i="1" s="1"/>
  <c r="K22" i="1"/>
  <c r="L22" i="1" s="1"/>
  <c r="M22" i="1" s="1"/>
</calcChain>
</file>

<file path=xl/sharedStrings.xml><?xml version="1.0" encoding="utf-8"?>
<sst xmlns="http://schemas.openxmlformats.org/spreadsheetml/2006/main" count="11" uniqueCount="11">
  <si>
    <t>Nr studenta</t>
  </si>
  <si>
    <t>czas przybycia (s)</t>
  </si>
  <si>
    <t>czas obsługi (s)</t>
  </si>
  <si>
    <t>liczba stanowisk r</t>
  </si>
  <si>
    <t>czas (min)</t>
  </si>
  <si>
    <t>λ</t>
  </si>
  <si>
    <t>μ</t>
  </si>
  <si>
    <t>ρ</t>
  </si>
  <si>
    <t>P(n=0)</t>
  </si>
  <si>
    <t>Q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</si>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</sst>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Zmiana </a:t>
            </a:r>
            <a:r>
              <a:rPr lang="el-GR" sz="1400" b="0" i="0" u="none" strike="noStrike" baseline="0"/>
              <a:t>ρ </a:t>
            </a:r>
            <a:r>
              <a:rPr lang="pl-PL" sz="1400" b="0" i="0" u="none" strike="noStrike" baseline="0"/>
              <a:t>w czasie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Analiza_M_M_2!$J$1</c:f>
              <c:strCache>
                <c:ptCount val="1"/>
                <c:pt idx="0">
                  <c:v>ρ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Analiza_M_M_2!$G$2:$G$33</c:f>
              <c:numCache>
                <c:formatCode>General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xVal>
          <c:yVal>
            <c:numRef>
              <c:f>Analiza_M_M_2!$J$2:$J$33</c:f>
              <c:numCache>
                <c:formatCode>General</c:formatCode>
                <c:ptCount val="32"/>
                <c:pt idx="0">
                  <c:v>0</c:v>
                </c:pt>
                <c:pt idx="1">
                  <c:v>8.3333333333333339</c:v>
                </c:pt>
                <c:pt idx="2">
                  <c:v>1.7934782608695652</c:v>
                </c:pt>
                <c:pt idx="3">
                  <c:v>1.4802631578947369</c:v>
                </c:pt>
                <c:pt idx="4">
                  <c:v>1.0515873015873016</c:v>
                </c:pt>
                <c:pt idx="5">
                  <c:v>1.0256410256410255</c:v>
                </c:pt>
                <c:pt idx="6">
                  <c:v>1.0635359116022101</c:v>
                </c:pt>
                <c:pt idx="7">
                  <c:v>1.196236559139785</c:v>
                </c:pt>
                <c:pt idx="8">
                  <c:v>1.2562189054726369</c:v>
                </c:pt>
                <c:pt idx="9">
                  <c:v>1.3310185185185186</c:v>
                </c:pt>
                <c:pt idx="10">
                  <c:v>1.415929203539823</c:v>
                </c:pt>
                <c:pt idx="11">
                  <c:v>1.38671875</c:v>
                </c:pt>
                <c:pt idx="12">
                  <c:v>1.3091216216216215</c:v>
                </c:pt>
                <c:pt idx="13">
                  <c:v>1.2648809523809526</c:v>
                </c:pt>
                <c:pt idx="14">
                  <c:v>1.2101063829787235</c:v>
                </c:pt>
                <c:pt idx="15">
                  <c:v>1.1267605633802817</c:v>
                </c:pt>
                <c:pt idx="16">
                  <c:v>1.0766806722689075</c:v>
                </c:pt>
                <c:pt idx="17">
                  <c:v>1.0263653483992468</c:v>
                </c:pt>
                <c:pt idx="18">
                  <c:v>1.0026041666666667</c:v>
                </c:pt>
                <c:pt idx="19">
                  <c:v>0.97464342313787633</c:v>
                </c:pt>
                <c:pt idx="20">
                  <c:v>0.94752186588921283</c:v>
                </c:pt>
                <c:pt idx="21">
                  <c:v>0.92391304347826086</c:v>
                </c:pt>
                <c:pt idx="22">
                  <c:v>0.91229193341869397</c:v>
                </c:pt>
                <c:pt idx="23">
                  <c:v>0.90012106537530268</c:v>
                </c:pt>
                <c:pt idx="24">
                  <c:v>0.88299086757990863</c:v>
                </c:pt>
                <c:pt idx="25">
                  <c:v>0.89559819413092556</c:v>
                </c:pt>
                <c:pt idx="26">
                  <c:v>0.90120746432491761</c:v>
                </c:pt>
                <c:pt idx="27">
                  <c:v>0.91720085470085466</c:v>
                </c:pt>
                <c:pt idx="28">
                  <c:v>0.89656912209889006</c:v>
                </c:pt>
                <c:pt idx="29">
                  <c:v>0.86854684512428304</c:v>
                </c:pt>
                <c:pt idx="30">
                  <c:v>0.86878453038674019</c:v>
                </c:pt>
                <c:pt idx="31">
                  <c:v>0.85695422535211263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D9-435A-A057-2F1538E86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004896"/>
        <c:axId val="692002976"/>
      </c:scatterChart>
      <c:valAx>
        <c:axId val="69200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2002976"/>
        <c:crosses val="autoZero"/>
        <c:crossBetween val="midCat"/>
      </c:valAx>
      <c:valAx>
        <c:axId val="69200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9200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Zmiana </a:t>
            </a:r>
            <a:r>
              <a:rPr lang="el-GR" sz="1400" b="0" i="0" u="none" strike="noStrike" baseline="0"/>
              <a:t>λ </a:t>
            </a:r>
            <a:r>
              <a:rPr lang="pl-PL" sz="1400" b="0" i="0" u="none" strike="noStrike" baseline="0"/>
              <a:t>i </a:t>
            </a:r>
            <a:r>
              <a:rPr lang="el-GR" sz="1400" b="0" i="0" u="none" strike="noStrike" baseline="0"/>
              <a:t>μ </a:t>
            </a:r>
            <a:r>
              <a:rPr lang="pl-PL" sz="1400" b="0" i="0" u="none" strike="noStrike" baseline="0"/>
              <a:t>w czasie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Analiza_M_M_2!$H$1</c:f>
              <c:strCache>
                <c:ptCount val="1"/>
                <c:pt idx="0">
                  <c:v>λ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Analiza_M_M_2!$G$2:$G$33</c:f>
              <c:numCache>
                <c:formatCode>General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xVal>
          <c:yVal>
            <c:numRef>
              <c:f>Analiza_M_M_2!$H$2:$H$33</c:f>
              <c:numCache>
                <c:formatCode>General</c:formatCode>
                <c:ptCount val="32"/>
                <c:pt idx="0">
                  <c:v>0</c:v>
                </c:pt>
                <c:pt idx="1">
                  <c:v>20</c:v>
                </c:pt>
                <c:pt idx="2">
                  <c:v>3.9130434782608692</c:v>
                </c:pt>
                <c:pt idx="3">
                  <c:v>3.1578947368421053</c:v>
                </c:pt>
                <c:pt idx="4">
                  <c:v>2.3809523809523809</c:v>
                </c:pt>
                <c:pt idx="5">
                  <c:v>2.3076923076923075</c:v>
                </c:pt>
                <c:pt idx="6">
                  <c:v>2.3204419889502761</c:v>
                </c:pt>
                <c:pt idx="7">
                  <c:v>2.5806451612903225</c:v>
                </c:pt>
                <c:pt idx="8">
                  <c:v>2.6865671641791042</c:v>
                </c:pt>
                <c:pt idx="9">
                  <c:v>2.7777777777777777</c:v>
                </c:pt>
                <c:pt idx="10">
                  <c:v>2.9203539823008851</c:v>
                </c:pt>
                <c:pt idx="11">
                  <c:v>2.8125</c:v>
                </c:pt>
                <c:pt idx="12">
                  <c:v>2.6351351351351351</c:v>
                </c:pt>
                <c:pt idx="13">
                  <c:v>2.5</c:v>
                </c:pt>
                <c:pt idx="14">
                  <c:v>2.3936170212765959</c:v>
                </c:pt>
                <c:pt idx="15">
                  <c:v>2.2535211267605635</c:v>
                </c:pt>
                <c:pt idx="16">
                  <c:v>2.1428571428571428</c:v>
                </c:pt>
                <c:pt idx="17">
                  <c:v>2.0338983050847457</c:v>
                </c:pt>
                <c:pt idx="18">
                  <c:v>1.9791666666666667</c:v>
                </c:pt>
                <c:pt idx="19">
                  <c:v>1.9017432646592709</c:v>
                </c:pt>
                <c:pt idx="20">
                  <c:v>1.8367346938775511</c:v>
                </c:pt>
                <c:pt idx="21">
                  <c:v>1.7934782608695652</c:v>
                </c:pt>
                <c:pt idx="22">
                  <c:v>1.7669654289372598</c:v>
                </c:pt>
                <c:pt idx="23">
                  <c:v>1.7433414043583535</c:v>
                </c:pt>
                <c:pt idx="24">
                  <c:v>1.7123287671232876</c:v>
                </c:pt>
                <c:pt idx="25">
                  <c:v>1.7607223476297968</c:v>
                </c:pt>
                <c:pt idx="26">
                  <c:v>1.7782656421514818</c:v>
                </c:pt>
                <c:pt idx="27">
                  <c:v>1.7948717948717949</c:v>
                </c:pt>
                <c:pt idx="28">
                  <c:v>1.7558022199798184</c:v>
                </c:pt>
                <c:pt idx="29">
                  <c:v>1.7208413001912046</c:v>
                </c:pt>
                <c:pt idx="30">
                  <c:v>1.7127071823204418</c:v>
                </c:pt>
                <c:pt idx="31">
                  <c:v>1.6901408450704225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81-4D43-A4F3-BA49958EA709}"/>
            </c:ext>
          </c:extLst>
        </c:ser>
        <c:ser>
          <c:idx val="1"/>
          <c:order val="1"/>
          <c:tx>
            <c:strRef>
              <c:f>Analiza_M_M_2!$I$1</c:f>
              <c:strCache>
                <c:ptCount val="1"/>
                <c:pt idx="0">
                  <c:v>μ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Analiza_M_M_2!$G$2:$G$33</c:f>
              <c:numCache>
                <c:formatCode>General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xVal>
          <c:yVal>
            <c:numRef>
              <c:f>Analiza_M_M_2!$I$2:$I$33</c:f>
              <c:numCache>
                <c:formatCode>General</c:formatCode>
                <c:ptCount val="32"/>
                <c:pt idx="0">
                  <c:v>1.5</c:v>
                </c:pt>
                <c:pt idx="1">
                  <c:v>1.2</c:v>
                </c:pt>
                <c:pt idx="2">
                  <c:v>1.0909090909090908</c:v>
                </c:pt>
                <c:pt idx="3">
                  <c:v>1.0666666666666667</c:v>
                </c:pt>
                <c:pt idx="4">
                  <c:v>1.1320754716981132</c:v>
                </c:pt>
                <c:pt idx="5">
                  <c:v>1.125</c:v>
                </c:pt>
                <c:pt idx="6">
                  <c:v>1.0909090909090908</c:v>
                </c:pt>
                <c:pt idx="7">
                  <c:v>1.0786516853932584</c:v>
                </c:pt>
                <c:pt idx="8">
                  <c:v>1.0693069306930691</c:v>
                </c:pt>
                <c:pt idx="9">
                  <c:v>1.0434782608695652</c:v>
                </c:pt>
                <c:pt idx="10">
                  <c:v>1.03125</c:v>
                </c:pt>
                <c:pt idx="11">
                  <c:v>1.0140845070422535</c:v>
                </c:pt>
                <c:pt idx="12">
                  <c:v>1.0064516129032259</c:v>
                </c:pt>
                <c:pt idx="13">
                  <c:v>0.98823529411764699</c:v>
                </c:pt>
                <c:pt idx="14">
                  <c:v>0.98901098901098905</c:v>
                </c:pt>
                <c:pt idx="15">
                  <c:v>1</c:v>
                </c:pt>
                <c:pt idx="16">
                  <c:v>0.99512195121951219</c:v>
                </c:pt>
                <c:pt idx="17">
                  <c:v>0.99082568807339444</c:v>
                </c:pt>
                <c:pt idx="18">
                  <c:v>0.98701298701298701</c:v>
                </c:pt>
                <c:pt idx="19">
                  <c:v>0.97560975609756095</c:v>
                </c:pt>
                <c:pt idx="20">
                  <c:v>0.96923076923076923</c:v>
                </c:pt>
                <c:pt idx="21">
                  <c:v>0.97058823529411764</c:v>
                </c:pt>
                <c:pt idx="22">
                  <c:v>0.96842105263157896</c:v>
                </c:pt>
                <c:pt idx="23">
                  <c:v>0.96839273705447204</c:v>
                </c:pt>
                <c:pt idx="24">
                  <c:v>0.9696186166774402</c:v>
                </c:pt>
                <c:pt idx="25">
                  <c:v>0.98298676748582225</c:v>
                </c:pt>
                <c:pt idx="26">
                  <c:v>0.98660170523751523</c:v>
                </c:pt>
                <c:pt idx="27">
                  <c:v>0.97845078625509618</c:v>
                </c:pt>
                <c:pt idx="28">
                  <c:v>0.97917839054586386</c:v>
                </c:pt>
                <c:pt idx="29">
                  <c:v>0.99064391854705558</c:v>
                </c:pt>
                <c:pt idx="30">
                  <c:v>0.98569157392686813</c:v>
                </c:pt>
                <c:pt idx="31">
                  <c:v>0.98613251155624038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81-4D43-A4F3-BA49958EA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932480"/>
        <c:axId val="689929120"/>
      </c:scatterChart>
      <c:valAx>
        <c:axId val="68993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9929120"/>
        <c:crosses val="autoZero"/>
        <c:crossBetween val="midCat"/>
      </c:valAx>
      <c:valAx>
        <c:axId val="68992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993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Zmiana Q i W w czasie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Analiza_M_M_2!$L$1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Analiza_M_M_2!$G$2:$G$33</c:f>
              <c:numCache>
                <c:formatCode>General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xVal>
          <c:yVal>
            <c:numRef>
              <c:f>Analiza_M_M_2!$L$2:$L$33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36.981792607977773</c:v>
                </c:pt>
                <c:pt idx="20">
                  <c:v>16.647038769884915</c:v>
                </c:pt>
                <c:pt idx="21">
                  <c:v>10.775257044601185</c:v>
                </c:pt>
                <c:pt idx="22">
                  <c:v>9.0539432787741276</c:v>
                </c:pt>
                <c:pt idx="23">
                  <c:v>7.685596825875229</c:v>
                </c:pt>
                <c:pt idx="24">
                  <c:v>6.2492897070362625</c:v>
                </c:pt>
                <c:pt idx="25">
                  <c:v>7.2596440323910185</c:v>
                </c:pt>
                <c:pt idx="26">
                  <c:v>7.7938257693229565</c:v>
                </c:pt>
                <c:pt idx="27">
                  <c:v>9.7214238867298342</c:v>
                </c:pt>
                <c:pt idx="28">
                  <c:v>7.3478865483326725</c:v>
                </c:pt>
                <c:pt idx="29">
                  <c:v>5.3350038003907558</c:v>
                </c:pt>
                <c:pt idx="30">
                  <c:v>5.3483764015519482</c:v>
                </c:pt>
                <c:pt idx="31">
                  <c:v>4.7383445439901042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79-4E7D-9710-20A08A06FF6E}"/>
            </c:ext>
          </c:extLst>
        </c:ser>
        <c:ser>
          <c:idx val="1"/>
          <c:order val="1"/>
          <c:tx>
            <c:strRef>
              <c:f>Analiza_M_M_2!$M$1</c:f>
              <c:strCache>
                <c:ptCount val="1"/>
                <c:pt idx="0">
                  <c:v>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Analiza_M_M_2!$G$2:$G$33</c:f>
              <c:numCache>
                <c:formatCode>General</c:formatCode>
                <c:ptCount val="32"/>
                <c:pt idx="0">
                  <c:v>0</c:v>
                </c:pt>
                <c:pt idx="1">
                  <c:v>0.1</c:v>
                </c:pt>
                <c:pt idx="2">
                  <c:v>0.76666666666666672</c:v>
                </c:pt>
                <c:pt idx="3">
                  <c:v>1.2666666666666666</c:v>
                </c:pt>
                <c:pt idx="4">
                  <c:v>2.1</c:v>
                </c:pt>
                <c:pt idx="5">
                  <c:v>2.6</c:v>
                </c:pt>
                <c:pt idx="6">
                  <c:v>3.0166666666666666</c:v>
                </c:pt>
                <c:pt idx="7">
                  <c:v>3.1</c:v>
                </c:pt>
                <c:pt idx="8">
                  <c:v>3.35</c:v>
                </c:pt>
                <c:pt idx="9">
                  <c:v>3.6</c:v>
                </c:pt>
                <c:pt idx="10">
                  <c:v>3.7666666666666666</c:v>
                </c:pt>
                <c:pt idx="11">
                  <c:v>4.2666666666666666</c:v>
                </c:pt>
                <c:pt idx="12">
                  <c:v>4.9333333333333336</c:v>
                </c:pt>
                <c:pt idx="13">
                  <c:v>5.6</c:v>
                </c:pt>
                <c:pt idx="14">
                  <c:v>6.2666666666666666</c:v>
                </c:pt>
                <c:pt idx="15">
                  <c:v>7.1</c:v>
                </c:pt>
                <c:pt idx="16">
                  <c:v>7.9333333333333336</c:v>
                </c:pt>
                <c:pt idx="17">
                  <c:v>8.85</c:v>
                </c:pt>
                <c:pt idx="18">
                  <c:v>9.6</c:v>
                </c:pt>
                <c:pt idx="19">
                  <c:v>10.516666666666667</c:v>
                </c:pt>
                <c:pt idx="20">
                  <c:v>11.433333333333334</c:v>
                </c:pt>
                <c:pt idx="21">
                  <c:v>12.266666666666667</c:v>
                </c:pt>
                <c:pt idx="22">
                  <c:v>13.016666666666667</c:v>
                </c:pt>
                <c:pt idx="23">
                  <c:v>13.766666666666667</c:v>
                </c:pt>
                <c:pt idx="24">
                  <c:v>14.6</c:v>
                </c:pt>
                <c:pt idx="25">
                  <c:v>14.766666666666667</c:v>
                </c:pt>
                <c:pt idx="26">
                  <c:v>15.183333333333334</c:v>
                </c:pt>
                <c:pt idx="27">
                  <c:v>15.6</c:v>
                </c:pt>
                <c:pt idx="28">
                  <c:v>16.516666666666666</c:v>
                </c:pt>
                <c:pt idx="29">
                  <c:v>17.433333333333334</c:v>
                </c:pt>
                <c:pt idx="30">
                  <c:v>18.100000000000001</c:v>
                </c:pt>
                <c:pt idx="31">
                  <c:v>18.933333333333334</c:v>
                </c:pt>
              </c:numCache>
            </c:numRef>
          </c:xVal>
          <c:yVal>
            <c:numRef>
              <c:f>Analiza_M_M_2!$M$2:$M$33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19.446259279694981</c:v>
                </c:pt>
                <c:pt idx="20">
                  <c:v>9.063387774715121</c:v>
                </c:pt>
                <c:pt idx="21">
                  <c:v>6.0080221097170243</c:v>
                </c:pt>
                <c:pt idx="22">
                  <c:v>5.1240070295091265</c:v>
                </c:pt>
                <c:pt idx="23">
                  <c:v>4.4085437348423184</c:v>
                </c:pt>
                <c:pt idx="24">
                  <c:v>3.6495851889091773</c:v>
                </c:pt>
                <c:pt idx="25">
                  <c:v>4.1231055209605403</c:v>
                </c:pt>
                <c:pt idx="26">
                  <c:v>4.3828242443538361</c:v>
                </c:pt>
                <c:pt idx="27">
                  <c:v>5.4162218797494788</c:v>
                </c:pt>
                <c:pt idx="28">
                  <c:v>4.1849169939067119</c:v>
                </c:pt>
                <c:pt idx="29">
                  <c:v>3.1002299862270726</c:v>
                </c:pt>
                <c:pt idx="30">
                  <c:v>3.1227617054222669</c:v>
                </c:pt>
                <c:pt idx="31">
                  <c:v>2.8035205218608117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579-4E7D-9710-20A08A06F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627888"/>
        <c:axId val="688626448"/>
      </c:scatterChart>
      <c:valAx>
        <c:axId val="68862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8626448"/>
        <c:crosses val="autoZero"/>
        <c:crossBetween val="midCat"/>
      </c:valAx>
      <c:valAx>
        <c:axId val="68862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88627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581025</xdr:colOff>
      <xdr:row>15</xdr:row>
      <xdr:rowOff>142875</xdr:rowOff>
    </xdr:from>
    <xdr:to>
      <xdr:col>21</xdr:col>
      <xdr:colOff>276225</xdr:colOff>
      <xdr:row>30</xdr:row>
      <xdr:rowOff>28575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4538320B-7C5D-7845-C9BB-F26BCC81B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0</xdr:row>
      <xdr:rowOff>161925</xdr:rowOff>
    </xdr:from>
    <xdr:to>
      <xdr:col>21</xdr:col>
      <xdr:colOff>304800</xdr:colOff>
      <xdr:row>15</xdr:row>
      <xdr:rowOff>47625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D11EA594-333B-7E50-A887-3163BB16D3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600075</xdr:colOff>
      <xdr:row>30</xdr:row>
      <xdr:rowOff>180975</xdr:rowOff>
    </xdr:from>
    <xdr:to>
      <xdr:col>21</xdr:col>
      <xdr:colOff>295275</xdr:colOff>
      <xdr:row>45</xdr:row>
      <xdr:rowOff>66675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1AC987F8-64A9-77D5-15B1-3AB1E176D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A10" zoomScaleNormal="100" workbookViewId="0">
      <selection activeCell="Y20" sqref="Y2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E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>
        <v>1</v>
      </c>
      <c r="B2">
        <v>0</v>
      </c>
      <c r="C2">
        <v>40</v>
      </c>
      <c r="E2">
        <v>2</v>
      </c>
      <c r="G2">
        <f>SUM($B$2:B2)/60</f>
        <v>0</v>
      </c>
      <c r="H2">
        <f t="shared" ref="H2:H33" si="0">IF(G2=0,0,(ROW()-1)/G2)</f>
        <v>0</v>
      </c>
      <c r="I2">
        <f>IF(AVERAGE($C$2:C2)=0,0,60/AVERAGE($C$2:C2))</f>
        <v>1.5</v>
      </c>
      <c r="J2">
        <f t="shared" ref="J2:J33" si="1">IF(I2=0,0,H2/($E$2*I2))</f>
        <v>0</v>
      </c>
      <c r="K2">
        <f t="shared" ref="K2:K33" si="2">IF(J2&gt;=1,0,1/(1+(H2/I2)+((H2/I2)^2)/(2*(1-J2))))</f>
        <v>1</v>
      </c>
      <c r="L2">
        <f t="shared" ref="L2:L33" si="3">IF(J2&gt;=1,0,K2*((H2/I2)^2)*J2/(2*(1-J2)^2))</f>
        <v>0</v>
      </c>
      <c r="M2">
        <f t="shared" ref="M2:M33" si="4">IF(H2=0,0,L2/H2)</f>
        <v>0</v>
      </c>
    </row>
    <row r="3" spans="1:13" x14ac:dyDescent="0.25">
      <c r="A3">
        <v>2</v>
      </c>
      <c r="B3">
        <v>6</v>
      </c>
      <c r="C3">
        <v>60</v>
      </c>
      <c r="G3">
        <f>SUM($B$2:B3)/60</f>
        <v>0.1</v>
      </c>
      <c r="H3">
        <f t="shared" si="0"/>
        <v>20</v>
      </c>
      <c r="I3">
        <f>IF(AVERAGE($C$2:C3)=0,0,60/AVERAGE($C$2:C3))</f>
        <v>1.2</v>
      </c>
      <c r="J3">
        <f t="shared" si="1"/>
        <v>8.3333333333333339</v>
      </c>
      <c r="K3">
        <f t="shared" si="2"/>
        <v>0</v>
      </c>
      <c r="L3">
        <f t="shared" si="3"/>
        <v>0</v>
      </c>
      <c r="M3">
        <f t="shared" si="4"/>
        <v>0</v>
      </c>
    </row>
    <row r="4" spans="1:13" x14ac:dyDescent="0.25">
      <c r="A4">
        <v>3</v>
      </c>
      <c r="B4">
        <v>40</v>
      </c>
      <c r="C4">
        <v>65</v>
      </c>
      <c r="G4">
        <f>SUM($B$2:B4)/60</f>
        <v>0.76666666666666672</v>
      </c>
      <c r="H4">
        <f t="shared" si="0"/>
        <v>3.9130434782608692</v>
      </c>
      <c r="I4">
        <f>IF(AVERAGE($C$2:C4)=0,0,60/AVERAGE($C$2:C4))</f>
        <v>1.0909090909090908</v>
      </c>
      <c r="J4">
        <f t="shared" si="1"/>
        <v>1.7934782608695652</v>
      </c>
      <c r="K4">
        <f t="shared" si="2"/>
        <v>0</v>
      </c>
      <c r="L4">
        <f t="shared" si="3"/>
        <v>0</v>
      </c>
      <c r="M4">
        <f t="shared" si="4"/>
        <v>0</v>
      </c>
    </row>
    <row r="5" spans="1:13" x14ac:dyDescent="0.25">
      <c r="A5">
        <v>4</v>
      </c>
      <c r="B5">
        <v>30</v>
      </c>
      <c r="C5">
        <v>60</v>
      </c>
      <c r="G5">
        <f>SUM($B$2:B5)/60</f>
        <v>1.2666666666666666</v>
      </c>
      <c r="H5">
        <f t="shared" si="0"/>
        <v>3.1578947368421053</v>
      </c>
      <c r="I5">
        <f>IF(AVERAGE($C$2:C5)=0,0,60/AVERAGE($C$2:C5))</f>
        <v>1.0666666666666667</v>
      </c>
      <c r="J5">
        <f t="shared" si="1"/>
        <v>1.4802631578947369</v>
      </c>
      <c r="K5">
        <f t="shared" si="2"/>
        <v>0</v>
      </c>
      <c r="L5">
        <f t="shared" si="3"/>
        <v>0</v>
      </c>
      <c r="M5">
        <f t="shared" si="4"/>
        <v>0</v>
      </c>
    </row>
    <row r="6" spans="1:13" x14ac:dyDescent="0.25">
      <c r="A6">
        <v>5</v>
      </c>
      <c r="B6">
        <v>50</v>
      </c>
      <c r="C6">
        <v>40</v>
      </c>
      <c r="G6">
        <f>SUM($B$2:B6)/60</f>
        <v>2.1</v>
      </c>
      <c r="H6">
        <f t="shared" si="0"/>
        <v>2.3809523809523809</v>
      </c>
      <c r="I6">
        <f>IF(AVERAGE($C$2:C6)=0,0,60/AVERAGE($C$2:C6))</f>
        <v>1.1320754716981132</v>
      </c>
      <c r="J6">
        <f t="shared" si="1"/>
        <v>1.0515873015873016</v>
      </c>
      <c r="K6">
        <f t="shared" si="2"/>
        <v>0</v>
      </c>
      <c r="L6">
        <f t="shared" si="3"/>
        <v>0</v>
      </c>
      <c r="M6">
        <f t="shared" si="4"/>
        <v>0</v>
      </c>
    </row>
    <row r="7" spans="1:13" x14ac:dyDescent="0.25">
      <c r="A7">
        <v>6</v>
      </c>
      <c r="B7">
        <v>30</v>
      </c>
      <c r="C7">
        <v>55</v>
      </c>
      <c r="G7">
        <f>SUM($B$2:B7)/60</f>
        <v>2.6</v>
      </c>
      <c r="H7">
        <f t="shared" si="0"/>
        <v>2.3076923076923075</v>
      </c>
      <c r="I7">
        <f>IF(AVERAGE($C$2:C7)=0,0,60/AVERAGE($C$2:C7))</f>
        <v>1.125</v>
      </c>
      <c r="J7">
        <f t="shared" si="1"/>
        <v>1.0256410256410255</v>
      </c>
      <c r="K7">
        <f t="shared" si="2"/>
        <v>0</v>
      </c>
      <c r="L7">
        <f t="shared" si="3"/>
        <v>0</v>
      </c>
      <c r="M7">
        <f t="shared" si="4"/>
        <v>0</v>
      </c>
    </row>
    <row r="8" spans="1:13" x14ac:dyDescent="0.25">
      <c r="A8">
        <v>7</v>
      </c>
      <c r="B8">
        <v>25</v>
      </c>
      <c r="C8">
        <v>65</v>
      </c>
      <c r="G8">
        <f>SUM($B$2:B8)/60</f>
        <v>3.0166666666666666</v>
      </c>
      <c r="H8">
        <f t="shared" si="0"/>
        <v>2.3204419889502761</v>
      </c>
      <c r="I8">
        <f>IF(AVERAGE($C$2:C8)=0,0,60/AVERAGE($C$2:C8))</f>
        <v>1.0909090909090908</v>
      </c>
      <c r="J8">
        <f t="shared" si="1"/>
        <v>1.0635359116022101</v>
      </c>
      <c r="K8">
        <f t="shared" si="2"/>
        <v>0</v>
      </c>
      <c r="L8">
        <f t="shared" si="3"/>
        <v>0</v>
      </c>
      <c r="M8">
        <f t="shared" si="4"/>
        <v>0</v>
      </c>
    </row>
    <row r="9" spans="1:13" x14ac:dyDescent="0.25">
      <c r="A9">
        <v>8</v>
      </c>
      <c r="B9">
        <v>5</v>
      </c>
      <c r="C9">
        <v>60</v>
      </c>
      <c r="G9">
        <f>SUM($B$2:B9)/60</f>
        <v>3.1</v>
      </c>
      <c r="H9">
        <f t="shared" si="0"/>
        <v>2.5806451612903225</v>
      </c>
      <c r="I9">
        <f>IF(AVERAGE($C$2:C9)=0,0,60/AVERAGE($C$2:C9))</f>
        <v>1.0786516853932584</v>
      </c>
      <c r="J9">
        <f t="shared" si="1"/>
        <v>1.196236559139785</v>
      </c>
      <c r="K9">
        <f t="shared" si="2"/>
        <v>0</v>
      </c>
      <c r="L9">
        <f t="shared" si="3"/>
        <v>0</v>
      </c>
      <c r="M9">
        <f t="shared" si="4"/>
        <v>0</v>
      </c>
    </row>
    <row r="10" spans="1:13" x14ac:dyDescent="0.25">
      <c r="A10">
        <v>9</v>
      </c>
      <c r="B10">
        <v>15</v>
      </c>
      <c r="C10">
        <v>60</v>
      </c>
      <c r="G10">
        <f>SUM($B$2:B10)/60</f>
        <v>3.35</v>
      </c>
      <c r="H10">
        <f t="shared" si="0"/>
        <v>2.6865671641791042</v>
      </c>
      <c r="I10">
        <f>IF(AVERAGE($C$2:C10)=0,0,60/AVERAGE($C$2:C10))</f>
        <v>1.0693069306930691</v>
      </c>
      <c r="J10">
        <f t="shared" si="1"/>
        <v>1.2562189054726369</v>
      </c>
      <c r="K10">
        <f t="shared" si="2"/>
        <v>0</v>
      </c>
      <c r="L10">
        <f t="shared" si="3"/>
        <v>0</v>
      </c>
      <c r="M10">
        <f t="shared" si="4"/>
        <v>0</v>
      </c>
    </row>
    <row r="11" spans="1:13" x14ac:dyDescent="0.25">
      <c r="A11">
        <v>10</v>
      </c>
      <c r="B11">
        <v>15</v>
      </c>
      <c r="C11">
        <v>70</v>
      </c>
      <c r="G11">
        <f>SUM($B$2:B11)/60</f>
        <v>3.6</v>
      </c>
      <c r="H11">
        <f t="shared" si="0"/>
        <v>2.7777777777777777</v>
      </c>
      <c r="I11">
        <f>IF(AVERAGE($C$2:C11)=0,0,60/AVERAGE($C$2:C11))</f>
        <v>1.0434782608695652</v>
      </c>
      <c r="J11">
        <f t="shared" si="1"/>
        <v>1.3310185185185186</v>
      </c>
      <c r="K11">
        <f t="shared" si="2"/>
        <v>0</v>
      </c>
      <c r="L11">
        <f t="shared" si="3"/>
        <v>0</v>
      </c>
      <c r="M11">
        <f t="shared" si="4"/>
        <v>0</v>
      </c>
    </row>
    <row r="12" spans="1:13" x14ac:dyDescent="0.25">
      <c r="A12">
        <v>11</v>
      </c>
      <c r="B12">
        <v>10</v>
      </c>
      <c r="C12">
        <v>65</v>
      </c>
      <c r="G12">
        <f>SUM($B$2:B12)/60</f>
        <v>3.7666666666666666</v>
      </c>
      <c r="H12">
        <f t="shared" si="0"/>
        <v>2.9203539823008851</v>
      </c>
      <c r="I12">
        <f>IF(AVERAGE($C$2:C12)=0,0,60/AVERAGE($C$2:C12))</f>
        <v>1.03125</v>
      </c>
      <c r="J12">
        <f t="shared" si="1"/>
        <v>1.415929203539823</v>
      </c>
      <c r="K12">
        <f t="shared" si="2"/>
        <v>0</v>
      </c>
      <c r="L12">
        <f t="shared" si="3"/>
        <v>0</v>
      </c>
      <c r="M12">
        <f t="shared" si="4"/>
        <v>0</v>
      </c>
    </row>
    <row r="13" spans="1:13" x14ac:dyDescent="0.25">
      <c r="A13">
        <v>12</v>
      </c>
      <c r="B13">
        <v>30</v>
      </c>
      <c r="C13">
        <v>70</v>
      </c>
      <c r="G13">
        <f>SUM($B$2:B13)/60</f>
        <v>4.2666666666666666</v>
      </c>
      <c r="H13">
        <f t="shared" si="0"/>
        <v>2.8125</v>
      </c>
      <c r="I13">
        <f>IF(AVERAGE($C$2:C13)=0,0,60/AVERAGE($C$2:C13))</f>
        <v>1.0140845070422535</v>
      </c>
      <c r="J13">
        <f t="shared" si="1"/>
        <v>1.38671875</v>
      </c>
      <c r="K13">
        <f t="shared" si="2"/>
        <v>0</v>
      </c>
      <c r="L13">
        <f t="shared" si="3"/>
        <v>0</v>
      </c>
      <c r="M13">
        <f t="shared" si="4"/>
        <v>0</v>
      </c>
    </row>
    <row r="14" spans="1:13" x14ac:dyDescent="0.25">
      <c r="A14">
        <v>13</v>
      </c>
      <c r="B14">
        <v>40</v>
      </c>
      <c r="C14">
        <v>65</v>
      </c>
      <c r="G14">
        <f>SUM($B$2:B14)/60</f>
        <v>4.9333333333333336</v>
      </c>
      <c r="H14">
        <f t="shared" si="0"/>
        <v>2.6351351351351351</v>
      </c>
      <c r="I14">
        <f>IF(AVERAGE($C$2:C14)=0,0,60/AVERAGE($C$2:C14))</f>
        <v>1.0064516129032259</v>
      </c>
      <c r="J14">
        <f t="shared" si="1"/>
        <v>1.3091216216216215</v>
      </c>
      <c r="K14">
        <f t="shared" si="2"/>
        <v>0</v>
      </c>
      <c r="L14">
        <f t="shared" si="3"/>
        <v>0</v>
      </c>
      <c r="M14">
        <f t="shared" si="4"/>
        <v>0</v>
      </c>
    </row>
    <row r="15" spans="1:13" x14ac:dyDescent="0.25">
      <c r="A15">
        <v>14</v>
      </c>
      <c r="B15">
        <v>40</v>
      </c>
      <c r="C15">
        <v>75</v>
      </c>
      <c r="G15">
        <f>SUM($B$2:B15)/60</f>
        <v>5.6</v>
      </c>
      <c r="H15">
        <f t="shared" si="0"/>
        <v>2.5</v>
      </c>
      <c r="I15">
        <f>IF(AVERAGE($C$2:C15)=0,0,60/AVERAGE($C$2:C15))</f>
        <v>0.98823529411764699</v>
      </c>
      <c r="J15">
        <f t="shared" si="1"/>
        <v>1.2648809523809526</v>
      </c>
      <c r="K15">
        <f t="shared" si="2"/>
        <v>0</v>
      </c>
      <c r="L15">
        <f t="shared" si="3"/>
        <v>0</v>
      </c>
      <c r="M15">
        <f t="shared" si="4"/>
        <v>0</v>
      </c>
    </row>
    <row r="16" spans="1:13" x14ac:dyDescent="0.25">
      <c r="A16">
        <v>15</v>
      </c>
      <c r="B16">
        <v>40</v>
      </c>
      <c r="C16">
        <v>60</v>
      </c>
      <c r="G16">
        <f>SUM($B$2:B16)/60</f>
        <v>6.2666666666666666</v>
      </c>
      <c r="H16">
        <f t="shared" si="0"/>
        <v>2.3936170212765959</v>
      </c>
      <c r="I16">
        <f>IF(AVERAGE($C$2:C16)=0,0,60/AVERAGE($C$2:C16))</f>
        <v>0.98901098901098905</v>
      </c>
      <c r="J16">
        <f t="shared" si="1"/>
        <v>1.2101063829787235</v>
      </c>
      <c r="K16">
        <f t="shared" si="2"/>
        <v>0</v>
      </c>
      <c r="L16">
        <f t="shared" si="3"/>
        <v>0</v>
      </c>
      <c r="M16">
        <f t="shared" si="4"/>
        <v>0</v>
      </c>
    </row>
    <row r="17" spans="1:13" x14ac:dyDescent="0.25">
      <c r="A17">
        <v>16</v>
      </c>
      <c r="B17">
        <v>50</v>
      </c>
      <c r="C17">
        <v>50</v>
      </c>
      <c r="G17">
        <f>SUM($B$2:B17)/60</f>
        <v>7.1</v>
      </c>
      <c r="H17">
        <f t="shared" si="0"/>
        <v>2.2535211267605635</v>
      </c>
      <c r="I17">
        <f>IF(AVERAGE($C$2:C17)=0,0,60/AVERAGE($C$2:C17))</f>
        <v>1</v>
      </c>
      <c r="J17">
        <f t="shared" si="1"/>
        <v>1.1267605633802817</v>
      </c>
      <c r="K17">
        <f t="shared" si="2"/>
        <v>0</v>
      </c>
      <c r="L17">
        <f t="shared" si="3"/>
        <v>0</v>
      </c>
      <c r="M17">
        <f t="shared" si="4"/>
        <v>0</v>
      </c>
    </row>
    <row r="18" spans="1:13" x14ac:dyDescent="0.25">
      <c r="A18">
        <v>17</v>
      </c>
      <c r="B18">
        <v>50</v>
      </c>
      <c r="C18">
        <v>65</v>
      </c>
      <c r="G18">
        <f>SUM($B$2:B18)/60</f>
        <v>7.9333333333333336</v>
      </c>
      <c r="H18">
        <f t="shared" si="0"/>
        <v>2.1428571428571428</v>
      </c>
      <c r="I18">
        <f>IF(AVERAGE($C$2:C18)=0,0,60/AVERAGE($C$2:C18))</f>
        <v>0.99512195121951219</v>
      </c>
      <c r="J18">
        <f t="shared" si="1"/>
        <v>1.0766806722689075</v>
      </c>
      <c r="K18">
        <f t="shared" si="2"/>
        <v>0</v>
      </c>
      <c r="L18">
        <f t="shared" si="3"/>
        <v>0</v>
      </c>
      <c r="M18">
        <f t="shared" si="4"/>
        <v>0</v>
      </c>
    </row>
    <row r="19" spans="1:13" x14ac:dyDescent="0.25">
      <c r="A19">
        <v>18</v>
      </c>
      <c r="B19">
        <v>55</v>
      </c>
      <c r="C19">
        <v>65</v>
      </c>
      <c r="G19">
        <f>SUM($B$2:B19)/60</f>
        <v>8.85</v>
      </c>
      <c r="H19">
        <f t="shared" si="0"/>
        <v>2.0338983050847457</v>
      </c>
      <c r="I19">
        <f>IF(AVERAGE($C$2:C19)=0,0,60/AVERAGE($C$2:C19))</f>
        <v>0.99082568807339444</v>
      </c>
      <c r="J19">
        <f t="shared" si="1"/>
        <v>1.0263653483992468</v>
      </c>
      <c r="K19">
        <f t="shared" si="2"/>
        <v>0</v>
      </c>
      <c r="L19">
        <f t="shared" si="3"/>
        <v>0</v>
      </c>
      <c r="M19">
        <f t="shared" si="4"/>
        <v>0</v>
      </c>
    </row>
    <row r="20" spans="1:13" x14ac:dyDescent="0.25">
      <c r="A20">
        <v>19</v>
      </c>
      <c r="B20">
        <v>45</v>
      </c>
      <c r="C20">
        <v>65</v>
      </c>
      <c r="G20">
        <f>SUM($B$2:B20)/60</f>
        <v>9.6</v>
      </c>
      <c r="H20">
        <f t="shared" si="0"/>
        <v>1.9791666666666667</v>
      </c>
      <c r="I20">
        <f>IF(AVERAGE($C$2:C20)=0,0,60/AVERAGE($C$2:C20))</f>
        <v>0.98701298701298701</v>
      </c>
      <c r="J20">
        <f t="shared" si="1"/>
        <v>1.0026041666666667</v>
      </c>
      <c r="K20">
        <f t="shared" si="2"/>
        <v>0</v>
      </c>
      <c r="L20">
        <f t="shared" si="3"/>
        <v>0</v>
      </c>
      <c r="M20">
        <f t="shared" si="4"/>
        <v>0</v>
      </c>
    </row>
    <row r="21" spans="1:13" x14ac:dyDescent="0.25">
      <c r="A21">
        <v>20</v>
      </c>
      <c r="B21">
        <v>55</v>
      </c>
      <c r="C21">
        <v>75</v>
      </c>
      <c r="G21">
        <f>SUM($B$2:B21)/60</f>
        <v>10.516666666666667</v>
      </c>
      <c r="H21">
        <f t="shared" si="0"/>
        <v>1.9017432646592709</v>
      </c>
      <c r="I21">
        <f>IF(AVERAGE($C$2:C21)=0,0,60/AVERAGE($C$2:C21))</f>
        <v>0.97560975609756095</v>
      </c>
      <c r="J21">
        <f t="shared" si="1"/>
        <v>0.97464342313787633</v>
      </c>
      <c r="K21">
        <f t="shared" si="2"/>
        <v>1.2841091492776914E-2</v>
      </c>
      <c r="L21">
        <f t="shared" si="3"/>
        <v>36.981792607977773</v>
      </c>
      <c r="M21">
        <f t="shared" si="4"/>
        <v>19.446259279694981</v>
      </c>
    </row>
    <row r="22" spans="1:13" x14ac:dyDescent="0.25">
      <c r="A22">
        <v>21</v>
      </c>
      <c r="B22">
        <v>55</v>
      </c>
      <c r="C22">
        <v>70</v>
      </c>
      <c r="G22">
        <f>SUM($B$2:B22)/60</f>
        <v>11.433333333333334</v>
      </c>
      <c r="H22">
        <f t="shared" si="0"/>
        <v>1.8367346938775511</v>
      </c>
      <c r="I22">
        <f>IF(AVERAGE($C$2:C22)=0,0,60/AVERAGE($C$2:C22))</f>
        <v>0.96923076923076923</v>
      </c>
      <c r="J22">
        <f t="shared" si="1"/>
        <v>0.94752186588921283</v>
      </c>
      <c r="K22">
        <f t="shared" si="2"/>
        <v>2.6946107784431135E-2</v>
      </c>
      <c r="L22">
        <f t="shared" si="3"/>
        <v>16.647038769884915</v>
      </c>
      <c r="M22">
        <f t="shared" si="4"/>
        <v>9.063387774715121</v>
      </c>
    </row>
    <row r="23" spans="1:13" x14ac:dyDescent="0.25">
      <c r="A23">
        <v>22</v>
      </c>
      <c r="B23">
        <v>50</v>
      </c>
      <c r="C23">
        <v>60</v>
      </c>
      <c r="G23">
        <f>SUM($B$2:B23)/60</f>
        <v>12.266666666666667</v>
      </c>
      <c r="H23">
        <f t="shared" si="0"/>
        <v>1.7934782608695652</v>
      </c>
      <c r="I23">
        <f>IF(AVERAGE($C$2:C23)=0,0,60/AVERAGE($C$2:C23))</f>
        <v>0.97058823529411764</v>
      </c>
      <c r="J23">
        <f t="shared" si="1"/>
        <v>0.92391304347826086</v>
      </c>
      <c r="K23">
        <f t="shared" si="2"/>
        <v>3.954802259887006E-2</v>
      </c>
      <c r="L23">
        <f t="shared" si="3"/>
        <v>10.775257044601185</v>
      </c>
      <c r="M23">
        <f t="shared" si="4"/>
        <v>6.0080221097170243</v>
      </c>
    </row>
    <row r="24" spans="1:13" x14ac:dyDescent="0.25">
      <c r="A24">
        <v>23</v>
      </c>
      <c r="B24">
        <v>45</v>
      </c>
      <c r="C24">
        <v>65</v>
      </c>
      <c r="G24">
        <f>SUM($B$2:B24)/60</f>
        <v>13.016666666666667</v>
      </c>
      <c r="H24">
        <f t="shared" si="0"/>
        <v>1.7669654289372598</v>
      </c>
      <c r="I24">
        <f>IF(AVERAGE($C$2:C24)=0,0,60/AVERAGE($C$2:C24))</f>
        <v>0.96842105263157896</v>
      </c>
      <c r="J24">
        <f t="shared" si="1"/>
        <v>0.91229193341869397</v>
      </c>
      <c r="K24">
        <f t="shared" si="2"/>
        <v>4.5865416806160034E-2</v>
      </c>
      <c r="L24">
        <f t="shared" si="3"/>
        <v>9.0539432787741276</v>
      </c>
      <c r="M24">
        <f t="shared" si="4"/>
        <v>5.1240070295091265</v>
      </c>
    </row>
    <row r="25" spans="1:13" x14ac:dyDescent="0.25">
      <c r="A25">
        <v>24</v>
      </c>
      <c r="B25">
        <v>45</v>
      </c>
      <c r="C25">
        <v>62</v>
      </c>
      <c r="G25">
        <f>SUM($B$2:B25)/60</f>
        <v>13.766666666666667</v>
      </c>
      <c r="H25">
        <f t="shared" si="0"/>
        <v>1.7433414043583535</v>
      </c>
      <c r="I25">
        <f>IF(AVERAGE($C$2:C25)=0,0,60/AVERAGE($C$2:C25))</f>
        <v>0.96839273705447204</v>
      </c>
      <c r="J25">
        <f t="shared" si="1"/>
        <v>0.90012106537530268</v>
      </c>
      <c r="K25">
        <f t="shared" si="2"/>
        <v>5.2564510990761384E-2</v>
      </c>
      <c r="L25">
        <f t="shared" si="3"/>
        <v>7.685596825875229</v>
      </c>
      <c r="M25">
        <f t="shared" si="4"/>
        <v>4.4085437348423184</v>
      </c>
    </row>
    <row r="26" spans="1:13" x14ac:dyDescent="0.25">
      <c r="A26">
        <v>25</v>
      </c>
      <c r="B26">
        <v>50</v>
      </c>
      <c r="C26">
        <v>60</v>
      </c>
      <c r="G26">
        <f>SUM($B$2:B26)/60</f>
        <v>14.6</v>
      </c>
      <c r="H26">
        <f t="shared" si="0"/>
        <v>1.7123287671232876</v>
      </c>
      <c r="I26">
        <f>IF(AVERAGE($C$2:C26)=0,0,60/AVERAGE($C$2:C26))</f>
        <v>0.9696186166774402</v>
      </c>
      <c r="J26">
        <f t="shared" si="1"/>
        <v>0.88299086757990863</v>
      </c>
      <c r="K26">
        <f t="shared" si="2"/>
        <v>6.2140042437102173E-2</v>
      </c>
      <c r="L26">
        <f t="shared" si="3"/>
        <v>6.2492897070362625</v>
      </c>
      <c r="M26">
        <f t="shared" si="4"/>
        <v>3.6495851889091773</v>
      </c>
    </row>
    <row r="27" spans="1:13" x14ac:dyDescent="0.25">
      <c r="A27">
        <v>26</v>
      </c>
      <c r="B27">
        <v>10</v>
      </c>
      <c r="C27">
        <v>40</v>
      </c>
      <c r="G27">
        <f>SUM($B$2:B27)/60</f>
        <v>14.766666666666667</v>
      </c>
      <c r="H27">
        <f t="shared" si="0"/>
        <v>1.7607223476297968</v>
      </c>
      <c r="I27">
        <f>IF(AVERAGE($C$2:C27)=0,0,60/AVERAGE($C$2:C27))</f>
        <v>0.98298676748582225</v>
      </c>
      <c r="J27">
        <f t="shared" si="1"/>
        <v>0.89559819413092556</v>
      </c>
      <c r="K27">
        <f t="shared" si="2"/>
        <v>5.5075915451027059E-2</v>
      </c>
      <c r="L27">
        <f t="shared" si="3"/>
        <v>7.2596440323910185</v>
      </c>
      <c r="M27">
        <f t="shared" si="4"/>
        <v>4.1231055209605403</v>
      </c>
    </row>
    <row r="28" spans="1:13" x14ac:dyDescent="0.25">
      <c r="A28">
        <v>27</v>
      </c>
      <c r="B28">
        <v>25</v>
      </c>
      <c r="C28">
        <v>55</v>
      </c>
      <c r="G28">
        <f>SUM($B$2:B28)/60</f>
        <v>15.183333333333334</v>
      </c>
      <c r="H28">
        <f t="shared" si="0"/>
        <v>1.7782656421514818</v>
      </c>
      <c r="I28">
        <f>IF(AVERAGE($C$2:C28)=0,0,60/AVERAGE($C$2:C28))</f>
        <v>0.98660170523751523</v>
      </c>
      <c r="J28">
        <f t="shared" si="1"/>
        <v>0.90120746432491761</v>
      </c>
      <c r="K28">
        <f t="shared" si="2"/>
        <v>5.1963048498845296E-2</v>
      </c>
      <c r="L28">
        <f t="shared" si="3"/>
        <v>7.7938257693229565</v>
      </c>
      <c r="M28">
        <f t="shared" si="4"/>
        <v>4.3828242443538361</v>
      </c>
    </row>
    <row r="29" spans="1:13" x14ac:dyDescent="0.25">
      <c r="A29">
        <v>28</v>
      </c>
      <c r="B29">
        <v>25</v>
      </c>
      <c r="C29">
        <v>75</v>
      </c>
      <c r="G29">
        <f>SUM($B$2:B29)/60</f>
        <v>15.6</v>
      </c>
      <c r="H29">
        <f t="shared" si="0"/>
        <v>1.7948717948717949</v>
      </c>
      <c r="I29">
        <f>IF(AVERAGE($C$2:C29)=0,0,60/AVERAGE($C$2:C29))</f>
        <v>0.97845078625509618</v>
      </c>
      <c r="J29">
        <f t="shared" si="1"/>
        <v>0.91720085470085466</v>
      </c>
      <c r="K29">
        <f t="shared" si="2"/>
        <v>4.3187517414321558E-2</v>
      </c>
      <c r="L29">
        <f t="shared" si="3"/>
        <v>9.7214238867298342</v>
      </c>
      <c r="M29">
        <f t="shared" si="4"/>
        <v>5.4162218797494788</v>
      </c>
    </row>
    <row r="30" spans="1:13" x14ac:dyDescent="0.25">
      <c r="A30">
        <v>29</v>
      </c>
      <c r="B30">
        <v>55</v>
      </c>
      <c r="C30">
        <v>60</v>
      </c>
      <c r="G30">
        <f>SUM($B$2:B30)/60</f>
        <v>16.516666666666666</v>
      </c>
      <c r="H30">
        <f t="shared" si="0"/>
        <v>1.7558022199798184</v>
      </c>
      <c r="I30">
        <f>IF(AVERAGE($C$2:C30)=0,0,60/AVERAGE($C$2:C30))</f>
        <v>0.97917839054586386</v>
      </c>
      <c r="J30">
        <f t="shared" si="1"/>
        <v>0.89656912209889006</v>
      </c>
      <c r="K30">
        <f t="shared" si="2"/>
        <v>5.4535780792764006E-2</v>
      </c>
      <c r="L30">
        <f t="shared" si="3"/>
        <v>7.3478865483326725</v>
      </c>
      <c r="M30">
        <f t="shared" si="4"/>
        <v>4.1849169939067119</v>
      </c>
    </row>
    <row r="31" spans="1:13" x14ac:dyDescent="0.25">
      <c r="A31">
        <v>30</v>
      </c>
      <c r="B31">
        <v>55</v>
      </c>
      <c r="C31">
        <v>40</v>
      </c>
      <c r="G31">
        <f>SUM($B$2:B31)/60</f>
        <v>17.433333333333334</v>
      </c>
      <c r="H31">
        <f t="shared" si="0"/>
        <v>1.7208413001912046</v>
      </c>
      <c r="I31">
        <f>IF(AVERAGE($C$2:C31)=0,0,60/AVERAGE($C$2:C31))</f>
        <v>0.99064391854705558</v>
      </c>
      <c r="J31">
        <f t="shared" si="1"/>
        <v>0.86854684512428304</v>
      </c>
      <c r="K31">
        <f t="shared" si="2"/>
        <v>7.0350473266820132E-2</v>
      </c>
      <c r="L31">
        <f t="shared" si="3"/>
        <v>5.3350038003907558</v>
      </c>
      <c r="M31">
        <f t="shared" si="4"/>
        <v>3.1002299862270726</v>
      </c>
    </row>
    <row r="32" spans="1:13" x14ac:dyDescent="0.25">
      <c r="A32">
        <v>31</v>
      </c>
      <c r="B32">
        <v>40</v>
      </c>
      <c r="C32">
        <v>70</v>
      </c>
      <c r="G32">
        <f>SUM($B$2:B32)/60</f>
        <v>18.100000000000001</v>
      </c>
      <c r="H32">
        <f t="shared" si="0"/>
        <v>1.7127071823204418</v>
      </c>
      <c r="I32">
        <f>IF(AVERAGE($C$2:C32)=0,0,60/AVERAGE($C$2:C32))</f>
        <v>0.98569157392686813</v>
      </c>
      <c r="J32">
        <f t="shared" si="1"/>
        <v>0.86878453038674019</v>
      </c>
      <c r="K32">
        <f t="shared" si="2"/>
        <v>7.0214338507021509E-2</v>
      </c>
      <c r="L32">
        <f t="shared" si="3"/>
        <v>5.3483764015519482</v>
      </c>
      <c r="M32">
        <f t="shared" si="4"/>
        <v>3.1227617054222669</v>
      </c>
    </row>
    <row r="33" spans="1:13" x14ac:dyDescent="0.25">
      <c r="A33">
        <v>32</v>
      </c>
      <c r="B33">
        <v>50</v>
      </c>
      <c r="C33">
        <v>60</v>
      </c>
      <c r="G33">
        <f>SUM($B$2:B33)/60</f>
        <v>18.933333333333334</v>
      </c>
      <c r="H33">
        <f t="shared" si="0"/>
        <v>1.6901408450704225</v>
      </c>
      <c r="I33">
        <f>IF(AVERAGE($C$2:C33)=0,0,60/AVERAGE($C$2:C33))</f>
        <v>0.98613251155624038</v>
      </c>
      <c r="J33">
        <f t="shared" si="1"/>
        <v>0.85695422535211263</v>
      </c>
      <c r="K33">
        <f t="shared" si="2"/>
        <v>7.7032472149798567E-2</v>
      </c>
      <c r="L33">
        <f t="shared" si="3"/>
        <v>4.7383445439901042</v>
      </c>
      <c r="M33">
        <f t="shared" si="4"/>
        <v>2.8035205218608117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Analiza_M_M_2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</cp:lastModifiedBy>
  <dcterms:created xsi:type="dcterms:W3CDTF">2026-03-01T19:42:15Z</dcterms:created>
  <dcterms:modified xsi:type="dcterms:W3CDTF">2026-03-01T20:24:58Z</dcterms:modified>
</cp:coreProperties>
</file>